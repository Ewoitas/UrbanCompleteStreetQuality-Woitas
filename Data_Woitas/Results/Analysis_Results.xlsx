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MILY'S USB/GEOG 587 RESEARCH PROJECT/Data_Woitas/Data_Processed/"/>
    </mc:Choice>
  </mc:AlternateContent>
  <xr:revisionPtr revIDLastSave="0" documentId="13_ncr:1_{4230CD7C-D5BE-DA42-861E-7154CC2817DE}" xr6:coauthVersionLast="47" xr6:coauthVersionMax="47" xr10:uidLastSave="{00000000-0000-0000-0000-000000000000}"/>
  <bookViews>
    <workbookView xWindow="1080" yWindow="1240" windowWidth="27640" windowHeight="16620" xr2:uid="{3916EE60-FB8F-AC40-A59F-80F38273D10F}"/>
  </bookViews>
  <sheets>
    <sheet name="DATA RESUL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I9" i="1"/>
  <c r="E9" i="1"/>
  <c r="M7" i="1"/>
  <c r="I7" i="1"/>
  <c r="E7" i="1"/>
  <c r="M6" i="1"/>
  <c r="I6" i="1"/>
  <c r="E6" i="1"/>
  <c r="M5" i="1"/>
  <c r="I5" i="1"/>
  <c r="E5" i="1"/>
  <c r="M4" i="1"/>
  <c r="M11" i="1" s="1"/>
  <c r="I4" i="1"/>
  <c r="I11" i="1" s="1"/>
  <c r="E4" i="1"/>
  <c r="E11" i="1" s="1"/>
</calcChain>
</file>

<file path=xl/sharedStrings.xml><?xml version="1.0" encoding="utf-8"?>
<sst xmlns="http://schemas.openxmlformats.org/spreadsheetml/2006/main" count="38" uniqueCount="23">
  <si>
    <t>16th Avenue NW</t>
  </si>
  <si>
    <t>Centre St. N</t>
  </si>
  <si>
    <t>17th Avenue SE</t>
  </si>
  <si>
    <t>Criteria</t>
  </si>
  <si>
    <t>Sum of Block Length</t>
  </si>
  <si>
    <t>North</t>
  </si>
  <si>
    <t>South</t>
  </si>
  <si>
    <t>Percentage of Total</t>
  </si>
  <si>
    <t>West</t>
  </si>
  <si>
    <t>East</t>
  </si>
  <si>
    <t>Total Length (m)</t>
  </si>
  <si>
    <t>Sidewalk 2.5m or more</t>
  </si>
  <si>
    <t>Green buffer separating vehicles &amp; pedestrians</t>
  </si>
  <si>
    <t>Integrated Land Use &amp; Public Realm</t>
  </si>
  <si>
    <t>Complete Walking Connections</t>
  </si>
  <si>
    <t>Unimpacted Pedestrian Travel</t>
  </si>
  <si>
    <t>Dedicated Space for Rapid Transit</t>
  </si>
  <si>
    <t>Dedicated Bike Lane</t>
  </si>
  <si>
    <t>Average Completeness:</t>
  </si>
  <si>
    <t>Total Blocks (with sidewalks)</t>
  </si>
  <si>
    <t>Total Unimpacted Blocks</t>
  </si>
  <si>
    <t>Percentage</t>
  </si>
  <si>
    <t>UnImpacted Pedestrian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</si>
</sst>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43" fontId="4" fillId="0" borderId="0" xfId="1" applyFont="1" applyAlignment="1">
      <alignment wrapText="1"/>
    </xf>
    <xf numFmtId="2" fontId="4" fillId="0" borderId="0" xfId="0" applyNumberFormat="1" applyFont="1" applyAlignment="1">
      <alignment wrapText="1"/>
    </xf>
    <xf numFmtId="43" fontId="0" fillId="0" borderId="0" xfId="1" applyFont="1"/>
    <xf numFmtId="0" fontId="5" fillId="0" borderId="0" xfId="0" applyFont="1" applyAlignment="1">
      <alignment wrapText="1"/>
    </xf>
    <xf numFmtId="10" fontId="4" fillId="0" borderId="2" xfId="0" applyNumberFormat="1" applyFont="1" applyBorder="1" applyAlignment="1">
      <alignment wrapText="1"/>
    </xf>
    <xf numFmtId="10" fontId="0" fillId="0" borderId="2" xfId="0" applyNumberFormat="1" applyBorder="1" applyAlignment="1">
      <alignment wrapText="1"/>
    </xf>
    <xf numFmtId="10" fontId="4" fillId="0" borderId="3" xfId="0" applyNumberFormat="1" applyFont="1" applyBorder="1" applyAlignment="1">
      <alignment wrapText="1"/>
    </xf>
    <xf numFmtId="10" fontId="0" fillId="0" borderId="3" xfId="0" applyNumberFormat="1" applyBorder="1"/>
    <xf numFmtId="10" fontId="0" fillId="0" borderId="3" xfId="0" applyNumberFormat="1" applyBorder="1" applyAlignment="1">
      <alignment wrapText="1"/>
    </xf>
    <xf numFmtId="43" fontId="4" fillId="0" borderId="4" xfId="1" applyFont="1" applyFill="1" applyBorder="1" applyAlignment="1">
      <alignment wrapText="1"/>
    </xf>
    <xf numFmtId="43" fontId="4" fillId="0" borderId="5" xfId="1" applyFont="1" applyFill="1" applyBorder="1" applyAlignment="1">
      <alignment wrapText="1"/>
    </xf>
    <xf numFmtId="10" fontId="6" fillId="0" borderId="3" xfId="0" applyNumberFormat="1" applyFont="1" applyBorder="1"/>
    <xf numFmtId="43" fontId="0" fillId="0" borderId="0" xfId="1" applyFont="1" applyAlignment="1">
      <alignment wrapText="1"/>
    </xf>
    <xf numFmtId="10" fontId="0" fillId="0" borderId="6" xfId="0" applyNumberFormat="1" applyBorder="1" applyAlignment="1">
      <alignment wrapText="1"/>
    </xf>
    <xf numFmtId="0" fontId="0" fillId="2" borderId="0" xfId="0" applyFill="1" applyAlignment="1">
      <alignment wrapText="1"/>
    </xf>
    <xf numFmtId="10" fontId="0" fillId="2" borderId="0" xfId="0" applyNumberFormat="1" applyFill="1" applyAlignment="1">
      <alignment wrapText="1"/>
    </xf>
    <xf numFmtId="10" fontId="0" fillId="0" borderId="7" xfId="0" applyNumberFormat="1" applyBorder="1"/>
    <xf numFmtId="10" fontId="0" fillId="0" borderId="7" xfId="0" applyNumberForma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5F4F-BD4B-8A46-8FF8-045DC90467FC}">
  <dimension ref="A1:M41"/>
  <sheetViews>
    <sheetView tabSelected="1" workbookViewId="0">
      <selection activeCell="Q5" sqref="Q5"/>
    </sheetView>
  </sheetViews>
  <sheetFormatPr baseColWidth="10" defaultRowHeight="16" x14ac:dyDescent="0.2"/>
  <cols>
    <col min="1" max="1" width="15.6640625" customWidth="1"/>
    <col min="2" max="2" width="12.6640625" customWidth="1"/>
    <col min="3" max="4" width="8.83203125"/>
    <col min="5" max="5" width="13.1640625" customWidth="1"/>
    <col min="6" max="6" width="12.1640625" customWidth="1"/>
    <col min="7" max="8" width="9" bestFit="1" customWidth="1"/>
    <col min="9" max="9" width="12.83203125" customWidth="1"/>
    <col min="10" max="10" width="12.6640625" customWidth="1"/>
    <col min="11" max="12" width="8.83203125"/>
    <col min="13" max="13" width="13.83203125" customWidth="1"/>
  </cols>
  <sheetData>
    <row r="1" spans="1:13" ht="17" thickBot="1" x14ac:dyDescent="0.25">
      <c r="A1" s="1"/>
      <c r="B1" s="2" t="s">
        <v>0</v>
      </c>
      <c r="C1" s="2"/>
      <c r="D1" s="2"/>
      <c r="E1" s="3"/>
      <c r="F1" s="2" t="s">
        <v>1</v>
      </c>
      <c r="G1" s="2"/>
      <c r="H1" s="2"/>
      <c r="I1" s="4"/>
      <c r="J1" s="2" t="s">
        <v>2</v>
      </c>
      <c r="K1" s="2"/>
      <c r="L1" s="2"/>
      <c r="M1" s="5"/>
    </row>
    <row r="2" spans="1:13" ht="51" x14ac:dyDescent="0.2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6" t="s">
        <v>4</v>
      </c>
      <c r="G2" s="6" t="s">
        <v>8</v>
      </c>
      <c r="H2" s="6" t="s">
        <v>9</v>
      </c>
      <c r="I2" s="7" t="s">
        <v>7</v>
      </c>
      <c r="J2" s="6" t="s">
        <v>4</v>
      </c>
      <c r="K2" s="6" t="s">
        <v>5</v>
      </c>
      <c r="L2" s="6" t="s">
        <v>6</v>
      </c>
      <c r="M2" s="7" t="s">
        <v>7</v>
      </c>
    </row>
    <row r="3" spans="1:13" ht="17" thickBot="1" x14ac:dyDescent="0.25">
      <c r="A3" s="6" t="s">
        <v>10</v>
      </c>
      <c r="B3" s="8">
        <v>6607.7387171765404</v>
      </c>
      <c r="C3" s="8">
        <v>3275.1133607750498</v>
      </c>
      <c r="D3" s="8">
        <v>3332.6253564014901</v>
      </c>
      <c r="E3" s="9"/>
      <c r="F3" s="10">
        <v>7635.3318285489904</v>
      </c>
      <c r="G3" s="8">
        <v>3809.85085102629</v>
      </c>
      <c r="H3" s="8">
        <v>3825.4809775227</v>
      </c>
      <c r="I3" s="9"/>
      <c r="J3" s="8">
        <v>5008.8627179141304</v>
      </c>
      <c r="K3" s="8">
        <v>2451.87572903921</v>
      </c>
      <c r="L3" s="8">
        <v>2556.9869888749199</v>
      </c>
      <c r="M3" s="7"/>
    </row>
    <row r="4" spans="1:13" ht="32" x14ac:dyDescent="0.2">
      <c r="A4" s="11" t="s">
        <v>11</v>
      </c>
      <c r="B4" s="8">
        <v>3674.65873388505</v>
      </c>
      <c r="C4" s="8">
        <v>1747.9692846369101</v>
      </c>
      <c r="D4" s="8">
        <v>1926.6894492481299</v>
      </c>
      <c r="E4" s="12">
        <f>B4/B3</f>
        <v>0.55611441238330572</v>
      </c>
      <c r="F4" s="8">
        <v>2978.4203202966701</v>
      </c>
      <c r="G4" s="8">
        <v>1116.74179796265</v>
      </c>
      <c r="H4" s="8">
        <v>1861.67852233402</v>
      </c>
      <c r="I4" s="12">
        <f>F4/F3</f>
        <v>0.3900839396606402</v>
      </c>
      <c r="J4" s="8">
        <v>4496.1362590908402</v>
      </c>
      <c r="K4" s="8">
        <v>2347.9212576791401</v>
      </c>
      <c r="L4" s="8">
        <v>2148.2150014117001</v>
      </c>
      <c r="M4" s="13">
        <f>J4/J3</f>
        <v>0.89763615261613561</v>
      </c>
    </row>
    <row r="5" spans="1:13" ht="48" x14ac:dyDescent="0.2">
      <c r="A5" s="11" t="s">
        <v>12</v>
      </c>
      <c r="B5" s="8">
        <v>1593.5000017463601</v>
      </c>
      <c r="C5" s="8">
        <v>358.50002994048702</v>
      </c>
      <c r="D5" s="8">
        <v>1234.99997180587</v>
      </c>
      <c r="E5" s="14">
        <f>B5/B3</f>
        <v>0.24115663011979022</v>
      </c>
      <c r="F5" s="10">
        <v>75.499866987928598</v>
      </c>
      <c r="G5" s="8">
        <v>0</v>
      </c>
      <c r="H5" s="10">
        <v>75.499866987928598</v>
      </c>
      <c r="I5" s="15">
        <f>F5/F3</f>
        <v>9.8882234175638323E-3</v>
      </c>
      <c r="J5" s="8">
        <v>959.31558791616897</v>
      </c>
      <c r="K5" s="8">
        <v>311.50002999135398</v>
      </c>
      <c r="L5" s="8">
        <v>647.81555792480697</v>
      </c>
      <c r="M5" s="16">
        <f>J5/J3</f>
        <v>0.19152363359554447</v>
      </c>
    </row>
    <row r="6" spans="1:13" ht="32" x14ac:dyDescent="0.2">
      <c r="A6" s="11" t="s">
        <v>13</v>
      </c>
      <c r="B6" s="8">
        <v>1347.53927786245</v>
      </c>
      <c r="C6" s="8">
        <v>957.26241151497698</v>
      </c>
      <c r="D6" s="8">
        <v>387.77686594747098</v>
      </c>
      <c r="E6" s="14">
        <f>B6/B3</f>
        <v>0.20393349911968797</v>
      </c>
      <c r="F6" s="8">
        <v>3127.8611945252201</v>
      </c>
      <c r="G6" s="8">
        <v>1563.11460124361</v>
      </c>
      <c r="H6" s="8">
        <v>1564.24659159159</v>
      </c>
      <c r="I6" s="14">
        <f>F6/F3</f>
        <v>0.40965622251412159</v>
      </c>
      <c r="J6" s="8">
        <v>989.42609725643194</v>
      </c>
      <c r="K6" s="8">
        <v>536.31005391625695</v>
      </c>
      <c r="L6" s="8">
        <v>453.116043340163</v>
      </c>
      <c r="M6" s="16">
        <f>J6/J3</f>
        <v>0.19753507991300356</v>
      </c>
    </row>
    <row r="7" spans="1:13" ht="32" x14ac:dyDescent="0.2">
      <c r="A7" s="11" t="s">
        <v>14</v>
      </c>
      <c r="B7" s="8">
        <v>5450.0209796245199</v>
      </c>
      <c r="C7" s="8">
        <v>3275.1133607750498</v>
      </c>
      <c r="D7" s="8">
        <v>2174.9076188494801</v>
      </c>
      <c r="E7" s="14">
        <f>B7/B3</f>
        <v>0.82479365678570471</v>
      </c>
      <c r="F7" s="8">
        <v>7247.4619629878998</v>
      </c>
      <c r="G7" s="8">
        <v>3421.9809854651999</v>
      </c>
      <c r="H7" s="8">
        <v>3825.4809775227</v>
      </c>
      <c r="I7" s="14">
        <f>F7/F3</f>
        <v>0.94920065371477103</v>
      </c>
      <c r="J7" s="8">
        <v>5008.8627179141304</v>
      </c>
      <c r="K7" s="8">
        <v>0</v>
      </c>
      <c r="L7" s="8">
        <v>0</v>
      </c>
      <c r="M7" s="16">
        <f>J7/J3</f>
        <v>1</v>
      </c>
    </row>
    <row r="8" spans="1:13" ht="32" x14ac:dyDescent="0.2">
      <c r="A8" s="11" t="s">
        <v>15</v>
      </c>
      <c r="B8" s="17"/>
      <c r="C8" s="17"/>
      <c r="D8" s="18"/>
      <c r="E8" s="19">
        <v>0.7142857142857143</v>
      </c>
      <c r="F8" s="17"/>
      <c r="G8" s="17"/>
      <c r="H8" s="18"/>
      <c r="I8" s="19">
        <v>0.44929999999999998</v>
      </c>
      <c r="J8" s="17"/>
      <c r="K8" s="17"/>
      <c r="L8" s="18"/>
      <c r="M8" s="19">
        <v>0.26319999999999999</v>
      </c>
    </row>
    <row r="9" spans="1:13" ht="34" x14ac:dyDescent="0.2">
      <c r="A9" s="7" t="s">
        <v>16</v>
      </c>
      <c r="B9" s="20">
        <v>68.999965544490607</v>
      </c>
      <c r="C9" s="20">
        <v>0</v>
      </c>
      <c r="D9" s="20">
        <v>68.999965544490607</v>
      </c>
      <c r="E9" s="16">
        <f>B9/B3</f>
        <v>1.0442296297994967E-2</v>
      </c>
      <c r="F9" s="20">
        <v>76.028053517014001</v>
      </c>
      <c r="G9" s="20">
        <v>76.028053517014001</v>
      </c>
      <c r="H9" s="20">
        <v>0</v>
      </c>
      <c r="I9" s="16">
        <f>F9/F3</f>
        <v>9.9574000481210626E-3</v>
      </c>
      <c r="J9" s="20">
        <v>4567.7348675613002</v>
      </c>
      <c r="K9" s="20">
        <v>2316.9212246656002</v>
      </c>
      <c r="L9" s="20">
        <v>2250.81364289559</v>
      </c>
      <c r="M9" s="16">
        <f>J9/J3</f>
        <v>0.91193053689111059</v>
      </c>
    </row>
    <row r="10" spans="1:13" ht="35" thickBot="1" x14ac:dyDescent="0.25">
      <c r="A10" s="7" t="s">
        <v>17</v>
      </c>
      <c r="B10" s="20">
        <v>0</v>
      </c>
      <c r="C10" s="20">
        <v>0</v>
      </c>
      <c r="D10" s="20">
        <v>0</v>
      </c>
      <c r="E10" s="21">
        <v>0</v>
      </c>
      <c r="F10" s="20">
        <v>0</v>
      </c>
      <c r="G10" s="20">
        <v>0</v>
      </c>
      <c r="H10" s="20">
        <v>0</v>
      </c>
      <c r="I10" s="21">
        <v>0</v>
      </c>
      <c r="J10" s="20">
        <v>0</v>
      </c>
      <c r="K10" s="20">
        <v>0</v>
      </c>
      <c r="L10" s="20">
        <v>0</v>
      </c>
      <c r="M10" s="21">
        <v>0</v>
      </c>
    </row>
    <row r="11" spans="1:13" ht="34" x14ac:dyDescent="0.2">
      <c r="A11" s="22" t="s">
        <v>18</v>
      </c>
      <c r="B11" s="22"/>
      <c r="C11" s="22"/>
      <c r="D11" s="22"/>
      <c r="E11" s="23">
        <f>AVERAGE(E4:E10)</f>
        <v>0.36438945842745685</v>
      </c>
      <c r="F11" s="22"/>
      <c r="G11" s="22"/>
      <c r="H11" s="22"/>
      <c r="I11" s="23">
        <f>AVERAGE(I4:I10)</f>
        <v>0.31686949133645964</v>
      </c>
      <c r="J11" s="22"/>
      <c r="K11" s="22"/>
      <c r="L11" s="22"/>
      <c r="M11" s="23">
        <f>AVERAGE(M4:M10)</f>
        <v>0.49454648614511348</v>
      </c>
    </row>
    <row r="12" spans="1:1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7" thickBot="1" x14ac:dyDescent="0.25">
      <c r="B14" s="2" t="s">
        <v>0</v>
      </c>
      <c r="C14" s="2"/>
      <c r="D14" s="2"/>
      <c r="E14" s="2" t="s">
        <v>1</v>
      </c>
      <c r="F14" s="2"/>
      <c r="G14" s="2"/>
      <c r="H14" s="2" t="s">
        <v>2</v>
      </c>
      <c r="I14" s="2"/>
      <c r="J14" s="2"/>
      <c r="K14" s="7"/>
      <c r="L14" s="7"/>
      <c r="M14" s="7"/>
    </row>
    <row r="15" spans="1:13" ht="86" thickBot="1" x14ac:dyDescent="0.25">
      <c r="A15" s="7"/>
      <c r="B15" s="7" t="s">
        <v>19</v>
      </c>
      <c r="C15" s="7" t="s">
        <v>20</v>
      </c>
      <c r="D15" s="7" t="s">
        <v>21</v>
      </c>
      <c r="E15" s="7" t="s">
        <v>19</v>
      </c>
      <c r="F15" s="7" t="s">
        <v>20</v>
      </c>
      <c r="G15" s="7" t="s">
        <v>21</v>
      </c>
      <c r="H15" s="7" t="s">
        <v>19</v>
      </c>
      <c r="I15" s="7" t="s">
        <v>20</v>
      </c>
      <c r="J15" s="7" t="s">
        <v>21</v>
      </c>
      <c r="K15" s="7"/>
      <c r="L15" s="7"/>
      <c r="M15" s="7"/>
    </row>
    <row r="16" spans="1:13" ht="35" thickBot="1" x14ac:dyDescent="0.25">
      <c r="A16" s="7" t="s">
        <v>22</v>
      </c>
      <c r="B16">
        <v>28</v>
      </c>
      <c r="C16">
        <v>2</v>
      </c>
      <c r="D16" s="24">
        <v>0.71430000000000005</v>
      </c>
      <c r="E16" s="7">
        <v>69</v>
      </c>
      <c r="F16" s="7">
        <v>31</v>
      </c>
      <c r="G16" s="25">
        <v>0.44929999999999998</v>
      </c>
      <c r="H16" s="7">
        <v>38</v>
      </c>
      <c r="I16" s="7">
        <v>10</v>
      </c>
      <c r="J16" s="25">
        <v>0.26319999999999999</v>
      </c>
      <c r="K16" s="7"/>
      <c r="L16" s="7"/>
      <c r="M16" s="7"/>
    </row>
    <row r="17" spans="1:13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</sheetData>
  <mergeCells count="6">
    <mergeCell ref="B1:D1"/>
    <mergeCell ref="F1:H1"/>
    <mergeCell ref="J1:L1"/>
    <mergeCell ref="B14:D14"/>
    <mergeCell ref="E14:G14"/>
    <mergeCell ref="H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Woitas</dc:creator>
  <cp:lastModifiedBy>Emily Woitas</cp:lastModifiedBy>
  <dcterms:created xsi:type="dcterms:W3CDTF">2025-11-02T21:05:56Z</dcterms:created>
  <dcterms:modified xsi:type="dcterms:W3CDTF">2025-11-02T21:09:23Z</dcterms:modified>
</cp:coreProperties>
</file>